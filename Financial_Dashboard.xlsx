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nura\Downloads\EXCEL PROJECT\"/>
    </mc:Choice>
  </mc:AlternateContent>
  <xr:revisionPtr revIDLastSave="0" documentId="13_ncr:1_{D8CFE900-F191-4545-AF0F-7220AC65CD4C}" xr6:coauthVersionLast="47" xr6:coauthVersionMax="47" xr10:uidLastSave="{00000000-0000-0000-0000-000000000000}"/>
  <bookViews>
    <workbookView xWindow="-108" yWindow="-108" windowWidth="23256" windowHeight="13176" tabRatio="500" activeTab="2" xr2:uid="{00000000-000D-0000-FFFF-FFFF00000000}"/>
  </bookViews>
  <sheets>
    <sheet name="Table_Income" sheetId="1" r:id="rId1"/>
    <sheet name="Table_Balance" sheetId="2" r:id="rId2"/>
    <sheet name="Dashboard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2" i="3" l="1"/>
  <c r="D22" i="3"/>
  <c r="C22" i="3"/>
  <c r="B22" i="3"/>
  <c r="I21" i="3"/>
  <c r="E21" i="3"/>
  <c r="D21" i="3"/>
  <c r="C21" i="3"/>
  <c r="B21" i="3"/>
  <c r="I20" i="3"/>
  <c r="I19" i="3"/>
  <c r="E19" i="3"/>
  <c r="D19" i="3"/>
  <c r="C19" i="3"/>
  <c r="B19" i="3"/>
  <c r="I18" i="3"/>
  <c r="E18" i="3"/>
  <c r="D18" i="3"/>
  <c r="C18" i="3"/>
  <c r="B18" i="3"/>
  <c r="I17" i="3"/>
  <c r="E17" i="3"/>
  <c r="D17" i="3"/>
  <c r="C17" i="3"/>
  <c r="B17" i="3"/>
  <c r="Z12" i="3"/>
  <c r="BZ11" i="3"/>
  <c r="BR11" i="3"/>
  <c r="BN11" i="3"/>
  <c r="Z11" i="3"/>
  <c r="BV11" i="3" s="1"/>
  <c r="N11" i="3"/>
  <c r="F11" i="3"/>
  <c r="B11" i="3"/>
  <c r="Z10" i="3"/>
  <c r="Z9" i="3"/>
  <c r="Z8" i="3"/>
  <c r="BN7" i="3"/>
  <c r="Z7" i="3"/>
  <c r="BR7" i="3" s="1"/>
  <c r="N7" i="3"/>
  <c r="F7" i="3"/>
  <c r="B7" i="3"/>
  <c r="Z6" i="3"/>
  <c r="Z5" i="3"/>
  <c r="Z4" i="3"/>
  <c r="Z3" i="3"/>
  <c r="BZ7" i="3" s="1"/>
  <c r="Z2" i="3"/>
  <c r="BV7" i="3" s="1"/>
  <c r="Z1" i="3"/>
  <c r="B26" i="3" s="1"/>
  <c r="J7" i="3" l="1"/>
  <c r="J11" i="3"/>
</calcChain>
</file>

<file path=xl/sharedStrings.xml><?xml version="1.0" encoding="utf-8"?>
<sst xmlns="http://schemas.openxmlformats.org/spreadsheetml/2006/main" count="73" uniqueCount="59">
  <si>
    <t>INCOME STATEMENT</t>
  </si>
  <si>
    <t>Quarter</t>
  </si>
  <si>
    <t>Revenue</t>
  </si>
  <si>
    <t>Cost_of_Goods_Sold</t>
  </si>
  <si>
    <t>Gross_Profit</t>
  </si>
  <si>
    <t>Operating_Expenses</t>
  </si>
  <si>
    <t>EBITDA</t>
  </si>
  <si>
    <t>Depreciation_Amortization</t>
  </si>
  <si>
    <t>EBIT</t>
  </si>
  <si>
    <t>Interest_Expense</t>
  </si>
  <si>
    <t>EBT</t>
  </si>
  <si>
    <t>Tax_Expense</t>
  </si>
  <si>
    <t>Net_Income</t>
  </si>
  <si>
    <t>Q1 2025</t>
  </si>
  <si>
    <t>Q2 2025</t>
  </si>
  <si>
    <t>Q3 2025</t>
  </si>
  <si>
    <t>Q4 2025</t>
  </si>
  <si>
    <t>BALANCE SHEET</t>
  </si>
  <si>
    <t>Cash_and_Equivalents</t>
  </si>
  <si>
    <t>Accounts_Receivable</t>
  </si>
  <si>
    <t>Inventory</t>
  </si>
  <si>
    <t>Prepaid_Expenses</t>
  </si>
  <si>
    <t>Current_Assets</t>
  </si>
  <si>
    <t>PP_E</t>
  </si>
  <si>
    <t>Intangible_Assets</t>
  </si>
  <si>
    <t>Other_Long_Term_Assets</t>
  </si>
  <si>
    <t>Total_Assets</t>
  </si>
  <si>
    <t>Accounts_Payable</t>
  </si>
  <si>
    <t>Short_Term_Debt</t>
  </si>
  <si>
    <t>Accrued_Expenses</t>
  </si>
  <si>
    <t>Current_Liabilities</t>
  </si>
  <si>
    <t>Long_Term_Debt</t>
  </si>
  <si>
    <t>Deferred_Tax_Liabilities</t>
  </si>
  <si>
    <t>Other_Long_Term_Liabilities</t>
  </si>
  <si>
    <t>Total_Liabilities</t>
  </si>
  <si>
    <t>Common_Stock</t>
  </si>
  <si>
    <t>Retained_Earnings</t>
  </si>
  <si>
    <t>Total_Equity</t>
  </si>
  <si>
    <t>AURELIUS STRATEGIC HOLDINGS</t>
  </si>
  <si>
    <t>Financial Command Centre FY 2025</t>
  </si>
  <si>
    <t>SELECT QUARTER:</t>
  </si>
  <si>
    <t>Current Ratio</t>
  </si>
  <si>
    <t>Quick Ratio</t>
  </si>
  <si>
    <t>Gross Margin</t>
  </si>
  <si>
    <t>Net Profit Margin</t>
  </si>
  <si>
    <t>ROE</t>
  </si>
  <si>
    <t>Debt-to-Equity</t>
  </si>
  <si>
    <t>Interest Coverage</t>
  </si>
  <si>
    <t>Asset Growth (QoQ)</t>
  </si>
  <si>
    <t>Chart Data</t>
  </si>
  <si>
    <t>Financial Metrics</t>
  </si>
  <si>
    <t>Net Income</t>
  </si>
  <si>
    <t>Operating Expenses</t>
  </si>
  <si>
    <t>ROE (%)</t>
  </si>
  <si>
    <t>Interest Cov</t>
  </si>
  <si>
    <t>Total Assets</t>
  </si>
  <si>
    <t>Asset Growth (%)</t>
  </si>
  <si>
    <t>Total Liabilities</t>
  </si>
  <si>
    <t>Executive Insights: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</si>
</sst>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;&quot;($&quot;#,##0\);\-"/>
    <numFmt numFmtId="165" formatCode="0.0%"/>
    <numFmt numFmtId="166" formatCode="0.0\x"/>
    <numFmt numFmtId="167" formatCode="\$#,##0"/>
  </numFmts>
  <fonts count="16" x14ac:knownFonts="1">
    <font>
      <sz val="11"/>
      <color theme="1"/>
      <name val="Calibri"/>
      <family val="2"/>
      <charset val="1"/>
    </font>
    <font>
      <b/>
      <sz val="14"/>
      <color rgb="FF001F3F"/>
      <name val="Arial"/>
      <charset val="1"/>
    </font>
    <font>
      <b/>
      <sz val="11"/>
      <color rgb="FFFFFFFF"/>
      <name val="Arial"/>
      <charset val="1"/>
    </font>
    <font>
      <sz val="10"/>
      <color rgb="FF0000FF"/>
      <name val="Arial"/>
      <charset val="1"/>
    </font>
    <font>
      <sz val="10"/>
      <name val="Arial"/>
      <charset val="1"/>
    </font>
    <font>
      <b/>
      <sz val="20"/>
      <color rgb="FF001F3F"/>
      <name val="Arial"/>
      <charset val="1"/>
    </font>
    <font>
      <b/>
      <sz val="14"/>
      <color rgb="FFC5A059"/>
      <name val="Arial"/>
      <charset val="1"/>
    </font>
    <font>
      <b/>
      <sz val="11"/>
      <name val="Arial"/>
      <charset val="1"/>
    </font>
    <font>
      <b/>
      <sz val="11"/>
      <color rgb="FF0000FF"/>
      <name val="Arial"/>
      <charset val="1"/>
    </font>
    <font>
      <b/>
      <sz val="10"/>
      <color rgb="FFD1D5DB"/>
      <name val="Arial"/>
      <charset val="1"/>
    </font>
    <font>
      <b/>
      <sz val="22"/>
      <color rgb="FF001F3F"/>
      <name val="Arial"/>
      <charset val="1"/>
    </font>
    <font>
      <b/>
      <sz val="12"/>
      <color rgb="FF001F3F"/>
      <name val="Arial"/>
      <charset val="1"/>
    </font>
    <font>
      <b/>
      <sz val="9"/>
      <name val="Arial"/>
      <charset val="1"/>
    </font>
    <font>
      <b/>
      <sz val="9"/>
      <color rgb="FFC5A059"/>
      <name val="Arial"/>
      <charset val="1"/>
    </font>
    <font>
      <sz val="9"/>
      <name val="Arial"/>
      <charset val="1"/>
    </font>
    <font>
      <sz val="10"/>
      <color rgb="FF333333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001F3F"/>
        <bgColor rgb="FF003300"/>
      </patternFill>
    </fill>
    <fill>
      <patternFill patternType="solid">
        <fgColor rgb="FFFFF9E6"/>
        <bgColor rgb="FFF9F9F9"/>
      </patternFill>
    </fill>
    <fill>
      <patternFill patternType="solid">
        <fgColor rgb="FFF8F9FA"/>
        <bgColor rgb="FFF9F9F9"/>
      </patternFill>
    </fill>
    <fill>
      <patternFill patternType="solid">
        <fgColor rgb="FFD1D5DB"/>
        <bgColor rgb="FFD9D9D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5" fillId="3" borderId="1" xfId="0" applyFont="1" applyFill="1" applyBorder="1" applyAlignment="1">
      <alignment horizontal="left" vertical="top" wrapText="1"/>
    </xf>
    <xf numFmtId="166" fontId="10" fillId="4" borderId="2" xfId="0" applyNumberFormat="1" applyFont="1" applyFill="1" applyBorder="1" applyAlignment="1">
      <alignment horizontal="center" vertical="center"/>
    </xf>
    <xf numFmtId="165" fontId="10" fillId="4" borderId="2" xfId="0" applyNumberFormat="1" applyFont="1" applyFill="1" applyBorder="1" applyAlignment="1">
      <alignment horizontal="center" vertical="center"/>
    </xf>
    <xf numFmtId="2" fontId="10" fillId="4" borderId="2" xfId="0" applyNumberFormat="1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164" fontId="4" fillId="0" borderId="1" xfId="0" applyNumberFormat="1" applyFont="1" applyBorder="1"/>
    <xf numFmtId="164" fontId="0" fillId="0" borderId="0" xfId="0" applyNumberFormat="1"/>
    <xf numFmtId="0" fontId="7" fillId="0" borderId="0" xfId="0" applyFont="1" applyAlignment="1">
      <alignment horizontal="right" vertical="center"/>
    </xf>
    <xf numFmtId="0" fontId="8" fillId="3" borderId="2" xfId="0" applyFont="1" applyFill="1" applyBorder="1" applyAlignment="1">
      <alignment horizontal="center" vertical="center"/>
    </xf>
    <xf numFmtId="0" fontId="11" fillId="0" borderId="0" xfId="0" applyFont="1"/>
    <xf numFmtId="0" fontId="12" fillId="5" borderId="0" xfId="0" applyFont="1" applyFill="1" applyAlignment="1">
      <alignment horizontal="center"/>
    </xf>
    <xf numFmtId="0" fontId="13" fillId="0" borderId="0" xfId="0" applyFont="1"/>
    <xf numFmtId="167" fontId="14" fillId="0" borderId="0" xfId="0" applyNumberFormat="1" applyFon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B0B0"/>
      <rgbColor rgb="FF878787"/>
      <rgbColor rgb="FF9999FF"/>
      <rgbColor rgb="FFB24543"/>
      <rgbColor rgb="FFFFF9E6"/>
      <rgbColor rgb="FFF8F9FA"/>
      <rgbColor rgb="FF660066"/>
      <rgbColor rgb="FFC77978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D9D9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16A9C"/>
      <rgbColor rgb="FFC5A059"/>
      <rgbColor rgb="FF001F3F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Quarterly Revenue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0">
              <a:solidFill>
                <a:srgbClr val="001F3F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Dashboard!$B$16:$E$16</c:f>
              <c:strCache>
                <c:ptCount val="4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</c:strCache>
            </c:strRef>
          </c:cat>
          <c:val>
            <c:numRef>
              <c:f>Dashboard!$B$17</c:f>
              <c:numCache>
                <c:formatCode>\$#,##0</c:formatCode>
                <c:ptCount val="1"/>
                <c:pt idx="0">
                  <c:v>12500000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9AD-488A-8115-BFFB8577C002}"/>
            </c:ext>
          </c:extLst>
        </c:ser>
        <c:ser>
          <c:idx val="1"/>
          <c:order val="1"/>
          <c:spPr>
            <a:ln w="47520">
              <a:solidFill>
                <a:srgbClr val="B24543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Dashboard!$B$16:$E$16</c:f>
              <c:strCache>
                <c:ptCount val="4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</c:strCache>
            </c:strRef>
          </c:cat>
          <c:val>
            <c:numRef>
              <c:f>Dashboard!$C$17</c:f>
              <c:numCache>
                <c:formatCode>\$#,##0</c:formatCode>
                <c:ptCount val="1"/>
                <c:pt idx="0">
                  <c:v>14375000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9AD-488A-8115-BFFB8577C002}"/>
            </c:ext>
          </c:extLst>
        </c:ser>
        <c:ser>
          <c:idx val="2"/>
          <c:order val="2"/>
          <c:spPr>
            <a:ln w="47520">
              <a:solidFill>
                <a:srgbClr val="C7797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Dashboard!$B$16:$E$16</c:f>
              <c:strCache>
                <c:ptCount val="4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</c:strCache>
            </c:strRef>
          </c:cat>
          <c:val>
            <c:numRef>
              <c:f>Dashboard!$D$17</c:f>
              <c:numCache>
                <c:formatCode>\$#,##0</c:formatCode>
                <c:ptCount val="1"/>
                <c:pt idx="0">
                  <c:v>16750000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79AD-488A-8115-BFFB8577C002}"/>
            </c:ext>
          </c:extLst>
        </c:ser>
        <c:ser>
          <c:idx val="3"/>
          <c:order val="3"/>
          <c:spPr>
            <a:ln w="47520">
              <a:solidFill>
                <a:srgbClr val="D9B0B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Dashboard!$B$16:$E$16</c:f>
              <c:strCache>
                <c:ptCount val="4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</c:strCache>
            </c:strRef>
          </c:cat>
          <c:val>
            <c:numRef>
              <c:f>Dashboard!$E$17</c:f>
              <c:numCache>
                <c:formatCode>\$#,##0</c:formatCode>
                <c:ptCount val="1"/>
                <c:pt idx="0">
                  <c:v>19500000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79AD-488A-8115-BFFB8577C0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0809193"/>
        <c:axId val="45863532"/>
      </c:lineChart>
      <c:catAx>
        <c:axId val="7080919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Quarter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5863532"/>
        <c:crosses val="autoZero"/>
        <c:auto val="1"/>
        <c:lblAlgn val="ctr"/>
        <c:lblOffset val="100"/>
        <c:noMultiLvlLbl val="0"/>
      </c:catAx>
      <c:valAx>
        <c:axId val="4586353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080919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Net Income vs Operating Expenses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16A9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Dashboard!$B$16:$E$16</c:f>
              <c:strCache>
                <c:ptCount val="4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</c:strCache>
            </c:strRef>
          </c:cat>
          <c:val>
            <c:numRef>
              <c:f>Dashboard!$B$17:$E$17</c:f>
              <c:numCache>
                <c:formatCode>\$#,##0</c:formatCode>
                <c:ptCount val="4"/>
                <c:pt idx="0">
                  <c:v>12500000</c:v>
                </c:pt>
                <c:pt idx="1">
                  <c:v>14375000</c:v>
                </c:pt>
                <c:pt idx="2">
                  <c:v>16750000</c:v>
                </c:pt>
                <c:pt idx="3">
                  <c:v>19500000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BA-4F58-9FF9-6FC042FF36EF}"/>
            </c:ext>
          </c:extLst>
        </c:ser>
        <c:ser>
          <c:idx val="1"/>
          <c:order val="1"/>
          <c:spPr>
            <a:solidFill>
              <a:srgbClr val="C5A0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Dashboard!$B$16:$E$16</c:f>
              <c:strCache>
                <c:ptCount val="4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</c:strCache>
            </c:strRef>
          </c:cat>
          <c:val>
            <c:numRef>
              <c:f>Dashboard!$B$18:$E$18</c:f>
              <c:numCache>
                <c:formatCode>\$#,##0</c:formatCode>
                <c:ptCount val="4"/>
                <c:pt idx="0">
                  <c:v>1640625</c:v>
                </c:pt>
                <c:pt idx="1">
                  <c:v>2193562</c:v>
                </c:pt>
                <c:pt idx="2">
                  <c:v>3037500</c:v>
                </c:pt>
                <c:pt idx="3">
                  <c:v>4080937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BA-4F58-9FF9-6FC042FF36EF}"/>
            </c:ext>
          </c:extLst>
        </c:ser>
        <c:ser>
          <c:idx val="2"/>
          <c:order val="2"/>
          <c:spPr>
            <a:solidFill>
              <a:srgbClr val="D1D5D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Dashboard!$B$16:$E$16</c:f>
              <c:strCache>
                <c:ptCount val="4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</c:strCache>
            </c:strRef>
          </c:cat>
          <c:val>
            <c:numRef>
              <c:f>Dashboard!$B$19:$E$19</c:f>
              <c:numCache>
                <c:formatCode>\$#,##0</c:formatCode>
                <c:ptCount val="4"/>
                <c:pt idx="0">
                  <c:v>3125000</c:v>
                </c:pt>
                <c:pt idx="1">
                  <c:v>3594000</c:v>
                </c:pt>
                <c:pt idx="2">
                  <c:v>4187500</c:v>
                </c:pt>
                <c:pt idx="3">
                  <c:v>4875000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3BA-4F58-9FF9-6FC042FF36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525184"/>
        <c:axId val="71974096"/>
      </c:barChart>
      <c:catAx>
        <c:axId val="5752518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Quarter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1974096"/>
        <c:crosses val="autoZero"/>
        <c:auto val="1"/>
        <c:lblAlgn val="ctr"/>
        <c:lblOffset val="100"/>
        <c:noMultiLvlLbl val="0"/>
      </c:catAx>
      <c:valAx>
        <c:axId val="7197409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Amount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752518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Asset vs Liability Composition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rgbClr val="001F3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Dashboard!$B$16:$E$16</c:f>
              <c:strCache>
                <c:ptCount val="4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</c:strCache>
            </c:strRef>
          </c:cat>
          <c:val>
            <c:numRef>
              <c:f>Dashboard!$B$21:$E$21</c:f>
              <c:numCache>
                <c:formatCode>\$#,##0</c:formatCode>
                <c:ptCount val="4"/>
                <c:pt idx="0">
                  <c:v>40000000</c:v>
                </c:pt>
                <c:pt idx="1">
                  <c:v>42600000</c:v>
                </c:pt>
                <c:pt idx="2">
                  <c:v>45400000</c:v>
                </c:pt>
                <c:pt idx="3">
                  <c:v>48650000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25-42F3-B50F-0DC97646E300}"/>
            </c:ext>
          </c:extLst>
        </c:ser>
        <c:ser>
          <c:idx val="1"/>
          <c:order val="1"/>
          <c:spPr>
            <a:solidFill>
              <a:srgbClr val="C5A0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Dashboard!$B$16:$E$16</c:f>
              <c:strCache>
                <c:ptCount val="4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</c:strCache>
            </c:strRef>
          </c:cat>
          <c:val>
            <c:numRef>
              <c:f>Dashboard!$B$22:$E$22</c:f>
              <c:numCache>
                <c:formatCode>\$#,##0</c:formatCode>
                <c:ptCount val="4"/>
                <c:pt idx="0">
                  <c:v>21000000</c:v>
                </c:pt>
                <c:pt idx="1">
                  <c:v>20200000</c:v>
                </c:pt>
                <c:pt idx="2">
                  <c:v>19400000</c:v>
                </c:pt>
                <c:pt idx="3">
                  <c:v>18600000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25-42F3-B50F-0DC97646E3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8699748"/>
        <c:axId val="61712811"/>
      </c:barChart>
      <c:catAx>
        <c:axId val="58699748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Amount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1712811"/>
        <c:crosses val="autoZero"/>
        <c:auto val="1"/>
        <c:lblAlgn val="ctr"/>
        <c:lblOffset val="100"/>
        <c:noMultiLvlLbl val="0"/>
      </c:catAx>
      <c:valAx>
        <c:axId val="6171281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Quarter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869974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Financial Health Radar (Q4)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radarChart>
        <c:radarStyle val="filled"/>
        <c:varyColors val="0"/>
        <c:ser>
          <c:idx val="0"/>
          <c:order val="0"/>
          <c:spPr>
            <a:solidFill>
              <a:srgbClr val="001F3F"/>
            </a:solidFill>
            <a:ln w="0">
              <a:solidFill>
                <a:srgbClr val="001F3F"/>
              </a:solidFill>
            </a:ln>
          </c:spPr>
          <c:extLst>
            <c:ext xmlns:c16="http://schemas.microsoft.com/office/drawing/2014/chart" uri="{C3380CC4-5D6E-409C-BE32-E72D297353CC}">
              <c16:uniqueId val="{00000000-3522-4FD5-B733-971826734E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409"/>
        <c:axId val="15061679"/>
      </c:radarChart>
      <c:catAx>
        <c:axId val="122440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5061679"/>
        <c:crosses val="autoZero"/>
        <c:auto val="1"/>
        <c:lblAlgn val="ctr"/>
        <c:lblOffset val="100"/>
        <c:noMultiLvlLbl val="0"/>
      </c:catAx>
      <c:valAx>
        <c:axId val="1506167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224409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30</xdr:row>
      <xdr:rowOff>0</xdr:rowOff>
    </xdr:from>
    <xdr:to>
      <xdr:col>7</xdr:col>
      <xdr:colOff>966240</xdr:colOff>
      <xdr:row>48</xdr:row>
      <xdr:rowOff>170280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30</xdr:row>
      <xdr:rowOff>0</xdr:rowOff>
    </xdr:from>
    <xdr:to>
      <xdr:col>18</xdr:col>
      <xdr:colOff>40320</xdr:colOff>
      <xdr:row>48</xdr:row>
      <xdr:rowOff>170280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46</xdr:row>
      <xdr:rowOff>0</xdr:rowOff>
    </xdr:from>
    <xdr:to>
      <xdr:col>7</xdr:col>
      <xdr:colOff>966240</xdr:colOff>
      <xdr:row>64</xdr:row>
      <xdr:rowOff>170280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46</xdr:row>
      <xdr:rowOff>0</xdr:rowOff>
    </xdr:from>
    <xdr:to>
      <xdr:col>18</xdr:col>
      <xdr:colOff>40320</xdr:colOff>
      <xdr:row>64</xdr:row>
      <xdr:rowOff>170280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zoomScaleNormal="100" workbookViewId="0">
      <selection activeCell="J11" sqref="J11"/>
    </sheetView>
  </sheetViews>
  <sheetFormatPr defaultColWidth="8.6640625" defaultRowHeight="14.4" x14ac:dyDescent="0.3"/>
  <cols>
    <col min="1" max="1" width="8.33203125" bestFit="1" customWidth="1"/>
    <col min="2" max="2" width="11.109375" bestFit="1" customWidth="1"/>
    <col min="3" max="3" width="21.6640625" bestFit="1" customWidth="1"/>
    <col min="4" max="4" width="13.21875" bestFit="1" customWidth="1"/>
    <col min="5" max="5" width="21.6640625" bestFit="1" customWidth="1"/>
    <col min="6" max="6" width="10.109375" bestFit="1" customWidth="1"/>
    <col min="7" max="7" width="27.21875" bestFit="1" customWidth="1"/>
    <col min="8" max="8" width="10.109375" bestFit="1" customWidth="1"/>
    <col min="9" max="9" width="18.33203125" bestFit="1" customWidth="1"/>
    <col min="10" max="10" width="10.109375" bestFit="1" customWidth="1"/>
    <col min="11" max="11" width="14.33203125" bestFit="1" customWidth="1"/>
    <col min="12" max="12" width="12.6640625" bestFit="1" customWidth="1"/>
  </cols>
  <sheetData>
    <row r="1" spans="1:12" ht="17.25" customHeight="1" x14ac:dyDescent="0.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3" spans="1:12" ht="15" customHeight="1" x14ac:dyDescent="0.3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9" t="s">
        <v>11</v>
      </c>
      <c r="L3" s="9" t="s">
        <v>12</v>
      </c>
    </row>
    <row r="4" spans="1:12" ht="15" customHeight="1" x14ac:dyDescent="0.3">
      <c r="A4" s="10" t="s">
        <v>13</v>
      </c>
      <c r="B4" s="11">
        <v>12500000</v>
      </c>
      <c r="C4" s="11">
        <v>6250000</v>
      </c>
      <c r="D4" s="11">
        <v>6250000</v>
      </c>
      <c r="E4" s="11">
        <v>3125000</v>
      </c>
      <c r="F4" s="11">
        <v>3125000</v>
      </c>
      <c r="G4" s="11">
        <v>625000</v>
      </c>
      <c r="H4" s="11">
        <v>2500000</v>
      </c>
      <c r="I4" s="11">
        <v>312500</v>
      </c>
      <c r="J4" s="11">
        <v>2187500</v>
      </c>
      <c r="K4" s="11">
        <v>546875</v>
      </c>
      <c r="L4" s="11">
        <v>1640625</v>
      </c>
    </row>
    <row r="5" spans="1:12" ht="15" customHeight="1" x14ac:dyDescent="0.3">
      <c r="A5" s="10" t="s">
        <v>14</v>
      </c>
      <c r="B5" s="11">
        <v>14375000</v>
      </c>
      <c r="C5" s="11">
        <v>6900000</v>
      </c>
      <c r="D5" s="11">
        <v>7475000</v>
      </c>
      <c r="E5" s="11">
        <v>3594000</v>
      </c>
      <c r="F5" s="11">
        <v>3881000</v>
      </c>
      <c r="G5" s="11">
        <v>656250</v>
      </c>
      <c r="H5" s="11">
        <v>3224750</v>
      </c>
      <c r="I5" s="11">
        <v>300000</v>
      </c>
      <c r="J5" s="11">
        <v>2924750</v>
      </c>
      <c r="K5" s="11">
        <v>731188</v>
      </c>
      <c r="L5" s="11">
        <v>2193562</v>
      </c>
    </row>
    <row r="6" spans="1:12" ht="15" customHeight="1" x14ac:dyDescent="0.3">
      <c r="A6" s="10" t="s">
        <v>15</v>
      </c>
      <c r="B6" s="11">
        <v>16750000</v>
      </c>
      <c r="C6" s="11">
        <v>7537500</v>
      </c>
      <c r="D6" s="11">
        <v>9212500</v>
      </c>
      <c r="E6" s="11">
        <v>4187500</v>
      </c>
      <c r="F6" s="11">
        <v>5025000</v>
      </c>
      <c r="G6" s="11">
        <v>693750</v>
      </c>
      <c r="H6" s="11">
        <v>4331250</v>
      </c>
      <c r="I6" s="11">
        <v>281250</v>
      </c>
      <c r="J6" s="11">
        <v>4050000</v>
      </c>
      <c r="K6" s="11">
        <v>1012500</v>
      </c>
      <c r="L6" s="11">
        <v>3037500</v>
      </c>
    </row>
    <row r="7" spans="1:12" ht="15" customHeight="1" x14ac:dyDescent="0.3">
      <c r="A7" s="10" t="s">
        <v>16</v>
      </c>
      <c r="B7" s="11">
        <v>19500000</v>
      </c>
      <c r="C7" s="11">
        <v>8190000</v>
      </c>
      <c r="D7" s="11">
        <v>11310000</v>
      </c>
      <c r="E7" s="11">
        <v>4875000</v>
      </c>
      <c r="F7" s="11">
        <v>6435000</v>
      </c>
      <c r="G7" s="11">
        <v>731250</v>
      </c>
      <c r="H7" s="11">
        <v>5703750</v>
      </c>
      <c r="I7" s="11">
        <v>262500</v>
      </c>
      <c r="J7" s="11">
        <v>5441250</v>
      </c>
      <c r="K7" s="11">
        <v>1360313</v>
      </c>
      <c r="L7" s="11">
        <v>4080937</v>
      </c>
    </row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7"/>
  <sheetViews>
    <sheetView zoomScaleNormal="100" workbookViewId="0">
      <selection activeCell="F13" sqref="F13"/>
    </sheetView>
  </sheetViews>
  <sheetFormatPr defaultColWidth="8.6640625" defaultRowHeight="14.4" x14ac:dyDescent="0.3"/>
  <cols>
    <col min="1" max="1" width="8.33203125" bestFit="1" customWidth="1"/>
    <col min="2" max="2" width="23.44140625" bestFit="1" customWidth="1"/>
    <col min="3" max="3" width="22.44140625" bestFit="1" customWidth="1"/>
    <col min="4" max="4" width="10.33203125" bestFit="1" customWidth="1"/>
    <col min="5" max="5" width="19.44140625" bestFit="1" customWidth="1"/>
    <col min="6" max="6" width="16.21875" bestFit="1" customWidth="1"/>
    <col min="7" max="7" width="11.109375" bestFit="1" customWidth="1"/>
    <col min="8" max="8" width="18.5546875" bestFit="1" customWidth="1"/>
    <col min="9" max="9" width="26.88671875" bestFit="1" customWidth="1"/>
    <col min="10" max="10" width="13.6640625" bestFit="1" customWidth="1"/>
    <col min="11" max="11" width="19.21875" bestFit="1" customWidth="1"/>
    <col min="12" max="12" width="18.33203125" bestFit="1" customWidth="1"/>
    <col min="13" max="13" width="20.109375" bestFit="1" customWidth="1"/>
    <col min="14" max="14" width="19" bestFit="1" customWidth="1"/>
    <col min="15" max="15" width="18" bestFit="1" customWidth="1"/>
    <col min="16" max="16" width="25" bestFit="1" customWidth="1"/>
    <col min="17" max="17" width="29.6640625" bestFit="1" customWidth="1"/>
    <col min="18" max="18" width="16.33203125" bestFit="1" customWidth="1"/>
    <col min="19" max="19" width="16.5546875" bestFit="1" customWidth="1"/>
    <col min="20" max="20" width="19.5546875" bestFit="1" customWidth="1"/>
    <col min="21" max="21" width="13.21875" bestFit="1" customWidth="1"/>
  </cols>
  <sheetData>
    <row r="1" spans="1:21" ht="17.25" customHeight="1" x14ac:dyDescent="0.3">
      <c r="A1" s="8" t="s">
        <v>17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</row>
    <row r="3" spans="1:21" ht="15" customHeight="1" x14ac:dyDescent="0.3">
      <c r="A3" s="9" t="s">
        <v>1</v>
      </c>
      <c r="B3" s="9" t="s">
        <v>18</v>
      </c>
      <c r="C3" s="9" t="s">
        <v>19</v>
      </c>
      <c r="D3" s="9" t="s">
        <v>20</v>
      </c>
      <c r="E3" s="9" t="s">
        <v>21</v>
      </c>
      <c r="F3" s="9" t="s">
        <v>22</v>
      </c>
      <c r="G3" s="9" t="s">
        <v>23</v>
      </c>
      <c r="H3" s="9" t="s">
        <v>24</v>
      </c>
      <c r="I3" s="9" t="s">
        <v>25</v>
      </c>
      <c r="J3" s="9" t="s">
        <v>26</v>
      </c>
      <c r="K3" s="9" t="s">
        <v>27</v>
      </c>
      <c r="L3" s="9" t="s">
        <v>28</v>
      </c>
      <c r="M3" s="9" t="s">
        <v>29</v>
      </c>
      <c r="N3" s="9" t="s">
        <v>30</v>
      </c>
      <c r="O3" s="9" t="s">
        <v>31</v>
      </c>
      <c r="P3" s="9" t="s">
        <v>32</v>
      </c>
      <c r="Q3" s="9" t="s">
        <v>33</v>
      </c>
      <c r="R3" s="9" t="s">
        <v>34</v>
      </c>
      <c r="S3" s="9" t="s">
        <v>35</v>
      </c>
      <c r="T3" s="9" t="s">
        <v>36</v>
      </c>
      <c r="U3" s="9" t="s">
        <v>37</v>
      </c>
    </row>
    <row r="4" spans="1:21" ht="15" customHeight="1" x14ac:dyDescent="0.3">
      <c r="A4" s="10" t="s">
        <v>13</v>
      </c>
      <c r="B4" s="11">
        <v>4500000</v>
      </c>
      <c r="C4" s="11">
        <v>3200000</v>
      </c>
      <c r="D4" s="11">
        <v>2800000</v>
      </c>
      <c r="E4" s="11">
        <v>350000</v>
      </c>
      <c r="F4" s="11">
        <v>10850000</v>
      </c>
      <c r="G4" s="11">
        <v>18750000</v>
      </c>
      <c r="H4" s="11">
        <v>8500000</v>
      </c>
      <c r="I4" s="11">
        <v>1900000</v>
      </c>
      <c r="J4" s="11">
        <v>40000000</v>
      </c>
      <c r="K4" s="11">
        <v>2100000</v>
      </c>
      <c r="L4" s="11">
        <v>2500000</v>
      </c>
      <c r="M4" s="11">
        <v>875000</v>
      </c>
      <c r="N4" s="11">
        <v>5475000</v>
      </c>
      <c r="O4" s="11">
        <v>12500000</v>
      </c>
      <c r="P4" s="11">
        <v>1800000</v>
      </c>
      <c r="Q4" s="11">
        <v>1225000</v>
      </c>
      <c r="R4" s="11">
        <v>21000000</v>
      </c>
      <c r="S4" s="11">
        <v>5000000</v>
      </c>
      <c r="T4" s="11">
        <v>14000000</v>
      </c>
      <c r="U4" s="11">
        <v>19000000</v>
      </c>
    </row>
    <row r="5" spans="1:21" ht="15" customHeight="1" x14ac:dyDescent="0.3">
      <c r="A5" s="10" t="s">
        <v>14</v>
      </c>
      <c r="B5" s="11">
        <v>5800000</v>
      </c>
      <c r="C5" s="11">
        <v>3680000</v>
      </c>
      <c r="D5" s="11">
        <v>2900000</v>
      </c>
      <c r="E5" s="11">
        <v>370000</v>
      </c>
      <c r="F5" s="11">
        <v>12750000</v>
      </c>
      <c r="G5" s="11">
        <v>19500000</v>
      </c>
      <c r="H5" s="11">
        <v>8350000</v>
      </c>
      <c r="I5" s="11">
        <v>2000000</v>
      </c>
      <c r="J5" s="11">
        <v>42600000</v>
      </c>
      <c r="K5" s="11">
        <v>2250000</v>
      </c>
      <c r="L5" s="11">
        <v>2250000</v>
      </c>
      <c r="M5" s="11">
        <v>920000</v>
      </c>
      <c r="N5" s="11">
        <v>5420000</v>
      </c>
      <c r="O5" s="11">
        <v>11750000</v>
      </c>
      <c r="P5" s="11">
        <v>1780000</v>
      </c>
      <c r="Q5" s="11">
        <v>1250000</v>
      </c>
      <c r="R5" s="11">
        <v>20200000</v>
      </c>
      <c r="S5" s="11">
        <v>5000000</v>
      </c>
      <c r="T5" s="11">
        <v>17400000</v>
      </c>
      <c r="U5" s="11">
        <v>22400000</v>
      </c>
    </row>
    <row r="6" spans="1:21" ht="15" customHeight="1" x14ac:dyDescent="0.3">
      <c r="A6" s="10" t="s">
        <v>15</v>
      </c>
      <c r="B6" s="11">
        <v>7200000</v>
      </c>
      <c r="C6" s="11">
        <v>4300000</v>
      </c>
      <c r="D6" s="11">
        <v>3100000</v>
      </c>
      <c r="E6" s="11">
        <v>400000</v>
      </c>
      <c r="F6" s="11">
        <v>15000000</v>
      </c>
      <c r="G6" s="11">
        <v>20100000</v>
      </c>
      <c r="H6" s="11">
        <v>8200000</v>
      </c>
      <c r="I6" s="11">
        <v>2100000</v>
      </c>
      <c r="J6" s="11">
        <v>45400000</v>
      </c>
      <c r="K6" s="11">
        <v>2400000</v>
      </c>
      <c r="L6" s="11">
        <v>2000000</v>
      </c>
      <c r="M6" s="11">
        <v>980000</v>
      </c>
      <c r="N6" s="11">
        <v>5380000</v>
      </c>
      <c r="O6" s="11">
        <v>11000000</v>
      </c>
      <c r="P6" s="11">
        <v>1750000</v>
      </c>
      <c r="Q6" s="11">
        <v>1270000</v>
      </c>
      <c r="R6" s="11">
        <v>19400000</v>
      </c>
      <c r="S6" s="11">
        <v>5000000</v>
      </c>
      <c r="T6" s="11">
        <v>21000000</v>
      </c>
      <c r="U6" s="11">
        <v>26000000</v>
      </c>
    </row>
    <row r="7" spans="1:21" ht="15" customHeight="1" x14ac:dyDescent="0.3">
      <c r="A7" s="10" t="s">
        <v>16</v>
      </c>
      <c r="B7" s="11">
        <v>9100000</v>
      </c>
      <c r="C7" s="11">
        <v>5070000</v>
      </c>
      <c r="D7" s="11">
        <v>3250000</v>
      </c>
      <c r="E7" s="11">
        <v>430000</v>
      </c>
      <c r="F7" s="11">
        <v>17850000</v>
      </c>
      <c r="G7" s="11">
        <v>20550000</v>
      </c>
      <c r="H7" s="11">
        <v>8050000</v>
      </c>
      <c r="I7" s="11">
        <v>2200000</v>
      </c>
      <c r="J7" s="11">
        <v>48650000</v>
      </c>
      <c r="K7" s="11">
        <v>2550000</v>
      </c>
      <c r="L7" s="11">
        <v>1750000</v>
      </c>
      <c r="M7" s="11">
        <v>1050000</v>
      </c>
      <c r="N7" s="11">
        <v>5350000</v>
      </c>
      <c r="O7" s="11">
        <v>10250000</v>
      </c>
      <c r="P7" s="11">
        <v>1720000</v>
      </c>
      <c r="Q7" s="11">
        <v>1280000</v>
      </c>
      <c r="R7" s="11">
        <v>18600000</v>
      </c>
      <c r="S7" s="11">
        <v>5000000</v>
      </c>
      <c r="T7" s="11">
        <v>25050000</v>
      </c>
      <c r="U7" s="11">
        <v>30050000</v>
      </c>
    </row>
  </sheetData>
  <mergeCells count="1">
    <mergeCell ref="A1:U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B28"/>
  <sheetViews>
    <sheetView tabSelected="1" topLeftCell="A72" zoomScaleNormal="100" workbookViewId="0">
      <selection activeCell="A3" sqref="A1:A1048576"/>
    </sheetView>
  </sheetViews>
  <sheetFormatPr defaultColWidth="8.6640625" defaultRowHeight="14.4" x14ac:dyDescent="0.3"/>
  <cols>
    <col min="1" max="1" width="17.109375" bestFit="1" customWidth="1"/>
    <col min="2" max="2" width="21.33203125" bestFit="1" customWidth="1"/>
    <col min="3" max="5" width="10.88671875" bestFit="1" customWidth="1"/>
    <col min="6" max="7" width="12" customWidth="1"/>
    <col min="8" max="8" width="15" bestFit="1" customWidth="1"/>
    <col min="9" max="9" width="12" bestFit="1" customWidth="1"/>
    <col min="10" max="12" width="12" customWidth="1"/>
    <col min="13" max="13" width="2" customWidth="1"/>
    <col min="14" max="16" width="12" customWidth="1"/>
    <col min="26" max="26" width="13" hidden="1" customWidth="1"/>
  </cols>
  <sheetData>
    <row r="1" spans="1:80" ht="30" customHeight="1" x14ac:dyDescent="0.3">
      <c r="A1" s="7" t="s">
        <v>38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Z1" s="12">
        <f>IFERROR(INDEX(Table_Income!$B$4:$B$7,MATCH($C$4,Table_Income!$A$4:$A$7,0)),"")</f>
        <v>19500000</v>
      </c>
    </row>
    <row r="2" spans="1:80" ht="24.75" customHeight="1" x14ac:dyDescent="0.3">
      <c r="A2" s="6" t="s">
        <v>39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Z2" s="12">
        <f>IFERROR(INDEX(Table_Income!$D$4:$D$7,MATCH($C$4,Table_Income!$A$4:$A$7,0)),"")</f>
        <v>11310000</v>
      </c>
    </row>
    <row r="3" spans="1:80" ht="15" customHeight="1" x14ac:dyDescent="0.3">
      <c r="Z3" s="12">
        <f>IFERROR(INDEX(Table_Income!$L$4:$L$7,MATCH($C$4,Table_Income!$A$4:$A$7,0)),"")</f>
        <v>4080937</v>
      </c>
    </row>
    <row r="4" spans="1:80" ht="15" customHeight="1" x14ac:dyDescent="0.3">
      <c r="B4" s="13" t="s">
        <v>40</v>
      </c>
      <c r="C4" s="14" t="s">
        <v>16</v>
      </c>
      <c r="Z4" s="12">
        <f>IFERROR(INDEX(Table_Balance!$F$4:$F$7,MATCH($C$4,Table_Balance!$A$4:$A$7,0)),"")</f>
        <v>17850000</v>
      </c>
    </row>
    <row r="5" spans="1:80" ht="15" customHeight="1" x14ac:dyDescent="0.3">
      <c r="Z5" s="12">
        <f>IFERROR(INDEX(Table_Balance!$N$4:$N$7,MATCH($C$4,Table_Balance!$A$4:$A$7,0)),"")</f>
        <v>5350000</v>
      </c>
    </row>
    <row r="6" spans="1:80" ht="15" customHeight="1" x14ac:dyDescent="0.3">
      <c r="Z6" s="12">
        <f>IFERROR(INDEX(Table_Balance!$B$4:$B$7,MATCH($C$4,Table_Balance!$A$4:$A$7,0)),"")</f>
        <v>9100000</v>
      </c>
      <c r="BN6" s="5" t="s">
        <v>41</v>
      </c>
      <c r="BO6" s="5"/>
      <c r="BP6" s="5"/>
      <c r="BR6" s="5" t="s">
        <v>42</v>
      </c>
      <c r="BS6" s="5"/>
      <c r="BT6" s="5"/>
      <c r="BV6" s="5" t="s">
        <v>43</v>
      </c>
      <c r="BW6" s="5"/>
      <c r="BX6" s="5"/>
      <c r="BZ6" s="5" t="s">
        <v>44</v>
      </c>
      <c r="CA6" s="5"/>
      <c r="CB6" s="5"/>
    </row>
    <row r="7" spans="1:80" ht="34.5" customHeight="1" x14ac:dyDescent="0.3">
      <c r="B7">
        <f>IF(Z4="","-",Z4/Z5)</f>
        <v>3.3364485981308412</v>
      </c>
      <c r="F7">
        <f>IF(Z4="","-",(Z4-Z7)/Z5)</f>
        <v>2.7289719626168223</v>
      </c>
      <c r="J7">
        <f>IF(Z2="","-",Z2/Z1)</f>
        <v>0.57999999999999996</v>
      </c>
      <c r="N7">
        <f>IF(Z3="","-",Z3/Z1)</f>
        <v>0.20927882051282051</v>
      </c>
      <c r="Z7" s="12">
        <f>IFERROR(INDEX(Table_Balance!$D$4:$D$7,MATCH($C$4,Table_Balance!$A$4:$A$7,0)),"")</f>
        <v>3250000</v>
      </c>
      <c r="BN7" s="4">
        <f>IFERROR(Z4/Z5,"-")</f>
        <v>3.3364485981308412</v>
      </c>
      <c r="BO7" s="4"/>
      <c r="BP7" s="4"/>
      <c r="BR7" s="4">
        <f>IFERROR((Z4-Z7)/Z5,"-")</f>
        <v>2.7289719626168223</v>
      </c>
      <c r="BS7" s="4"/>
      <c r="BT7" s="4"/>
      <c r="BV7" s="3">
        <f>IFERROR(Z2/Z1,"-")</f>
        <v>0.57999999999999996</v>
      </c>
      <c r="BW7" s="3"/>
      <c r="BX7" s="3"/>
      <c r="BZ7" s="3">
        <f>IFERROR(Z3/Z1,"-")</f>
        <v>0.20927882051282051</v>
      </c>
      <c r="CA7" s="3"/>
      <c r="CB7" s="3"/>
    </row>
    <row r="8" spans="1:80" ht="15" customHeight="1" x14ac:dyDescent="0.3">
      <c r="Z8" s="12">
        <f>IFERROR(INDEX(Table_Balance!$R$4:$R$7,MATCH($C$4,Table_Balance!$A$4:$A$7,0)),"")</f>
        <v>18600000</v>
      </c>
      <c r="BN8" s="4"/>
      <c r="BO8" s="4"/>
      <c r="BP8" s="4"/>
      <c r="BR8" s="4"/>
      <c r="BS8" s="4"/>
      <c r="BT8" s="4"/>
      <c r="BV8" s="3"/>
      <c r="BW8" s="3"/>
      <c r="BX8" s="3"/>
      <c r="BZ8" s="3"/>
      <c r="CA8" s="3"/>
      <c r="CB8" s="3"/>
    </row>
    <row r="9" spans="1:80" ht="15" customHeight="1" x14ac:dyDescent="0.3">
      <c r="Z9" s="12">
        <f>IFERROR(INDEX(Table_Balance!$U$4:$U$7,MATCH($C$4,Table_Balance!$A$4:$A$7,0)),"")</f>
        <v>30050000</v>
      </c>
    </row>
    <row r="10" spans="1:80" ht="15" customHeight="1" x14ac:dyDescent="0.3">
      <c r="Z10" s="12">
        <f>IFERROR(INDEX(Table_Income!$H$4:$H$7,MATCH($C$4,Table_Income!$A$4:$A$7,0)),"")</f>
        <v>5703750</v>
      </c>
      <c r="BN10" s="5" t="s">
        <v>45</v>
      </c>
      <c r="BO10" s="5"/>
      <c r="BP10" s="5"/>
      <c r="BR10" s="5" t="s">
        <v>46</v>
      </c>
      <c r="BS10" s="5"/>
      <c r="BT10" s="5"/>
      <c r="BV10" s="5" t="s">
        <v>47</v>
      </c>
      <c r="BW10" s="5"/>
      <c r="BX10" s="5"/>
      <c r="BZ10" s="5" t="s">
        <v>48</v>
      </c>
      <c r="CA10" s="5"/>
      <c r="CB10" s="5"/>
    </row>
    <row r="11" spans="1:80" ht="34.5" customHeight="1" x14ac:dyDescent="0.3">
      <c r="B11">
        <f>IF(Z3="","-",Z3/Z9)</f>
        <v>0.13580489184692179</v>
      </c>
      <c r="F11">
        <f>IF(Z8="","-",Z8/Z9)</f>
        <v>0.61896838602329451</v>
      </c>
      <c r="J11">
        <f>IF(Z11="","-",Z10/Z11)</f>
        <v>21.728571428571428</v>
      </c>
      <c r="N11">
        <f>IF($C$4="Q1 2025","",IF($C$4="Q2 2025",
(INDEX(Table_Balance!$J$4:$J$7,MATCH("Q2 2025",Table_Balance!$A$4:$A$7,0))/
INDEX(Table_Balance!$J$4:$J$7,MATCH("Q1 2025",Table_Balance!$A$4:$A$7,0))-1),
IF($C$4="Q3 2025",
(INDEX(Table_Balance!$J$4:$J$7,MATCH("Q3 2025",Table_Balance!$A$4:$A$7,0))/
INDEX(Table_Balance!$J$4:$J$7,MATCH("Q2 2025",Table_Balance!$A$4:$A$7,0))-1),
IF($C$4="Q4 2025",
(INDEX(Table_Balance!$J$4:$J$7,MATCH("Q4 2025",Table_Balance!$A$4:$A$7,0))/
INDEX(Table_Balance!$J$4:$J$7,MATCH("Q3 2025",Table_Balance!$A$4:$A$7,0))-1),
""))))</f>
        <v>7.1585903083700497E-2</v>
      </c>
      <c r="Z11" s="12">
        <f>IFERROR(INDEX(Table_Income!$I$4:$I$7,MATCH($C$4,Table_Income!$A$4:$A$7,0)),"")</f>
        <v>262500</v>
      </c>
      <c r="BN11" s="3">
        <f>IFERROR(Z3/Z9,"-")</f>
        <v>0.13580489184692179</v>
      </c>
      <c r="BO11" s="3"/>
      <c r="BP11" s="3"/>
      <c r="BR11" s="4">
        <f>IFERROR(Z8/Z9,"-")</f>
        <v>0.61896838602329451</v>
      </c>
      <c r="BS11" s="4"/>
      <c r="BT11" s="4"/>
      <c r="BV11" s="2">
        <f>IFERROR(Z10/Z11,"-")</f>
        <v>21.728571428571428</v>
      </c>
      <c r="BW11" s="2"/>
      <c r="BX11" s="2"/>
      <c r="BZ11" s="3" t="str">
        <f ca="1">IFERROR((_xludf.xlookup($C$4,#REF!,#REF!)/_xludf.xlookup(IF($C$4="Q1 2025","Q4 2024",IF($C$4="Q2 2025","Q1 2025",IF($C$4="Q3 2025","Q2 2025","Q3 2025"))),#REF!,#REF!))-1,"-")</f>
        <v>-</v>
      </c>
      <c r="CA11" s="3"/>
      <c r="CB11" s="3"/>
    </row>
    <row r="12" spans="1:80" ht="15" customHeight="1" x14ac:dyDescent="0.3">
      <c r="Z12" s="12">
        <f>IFERROR(INDEX(Table_Balance!$J$4:$J$7,MATCH($C$4,Table_Balance!$A$4:$A$7,0)),"")</f>
        <v>48650000</v>
      </c>
      <c r="BN12" s="3"/>
      <c r="BO12" s="3"/>
      <c r="BP12" s="3"/>
      <c r="BR12" s="4"/>
      <c r="BS12" s="4"/>
      <c r="BT12" s="4"/>
      <c r="BV12" s="2"/>
      <c r="BW12" s="2"/>
      <c r="BX12" s="2"/>
      <c r="BZ12" s="3"/>
      <c r="CA12" s="3"/>
      <c r="CB12" s="3"/>
    </row>
    <row r="15" spans="1:80" ht="15" customHeight="1" x14ac:dyDescent="0.3">
      <c r="B15" s="15" t="s">
        <v>49</v>
      </c>
    </row>
    <row r="16" spans="1:80" ht="15" customHeight="1" x14ac:dyDescent="0.3">
      <c r="B16" s="16" t="s">
        <v>13</v>
      </c>
      <c r="C16" s="16" t="s">
        <v>14</v>
      </c>
      <c r="D16" s="16" t="s">
        <v>15</v>
      </c>
      <c r="E16" s="16" t="s">
        <v>16</v>
      </c>
      <c r="H16" t="s">
        <v>50</v>
      </c>
      <c r="I16" t="s">
        <v>16</v>
      </c>
    </row>
    <row r="17" spans="1:16" ht="15" customHeight="1" x14ac:dyDescent="0.3">
      <c r="A17" s="17" t="s">
        <v>2</v>
      </c>
      <c r="B17" s="18">
        <f>INDEX(Table_Income!$B$4:$B$7,MATCH("Q1 2025",Table_Income!$A$4:$A$7,0))</f>
        <v>12500000</v>
      </c>
      <c r="C17" s="18">
        <f>INDEX(Table_Income!$B$4:$B$7,MATCH("Q2 2025",Table_Income!$A$4:$A$7,0))</f>
        <v>14375000</v>
      </c>
      <c r="D17" s="18">
        <f>INDEX(Table_Income!$B$4:$B$7,MATCH("Q3 2025",Table_Income!$A$4:$A$7,0))</f>
        <v>16750000</v>
      </c>
      <c r="E17" s="18">
        <f>INDEX(Table_Income!$B$4:$B$7,MATCH("Q4 2025",Table_Income!$A$4:$A$7,0))</f>
        <v>19500000</v>
      </c>
      <c r="H17" t="s">
        <v>41</v>
      </c>
      <c r="I17">
        <f>INDEX(Table_Balance!$F$4:$F$7,MATCH("Q4 2025",Table_Balance!$A$4:$A$7,0))/INDEX(Table_Balance!$N$4:$N$7,MATCH("Q4 2025",Table_Balance!$A$4:$A$7,0))</f>
        <v>3.3364485981308412</v>
      </c>
    </row>
    <row r="18" spans="1:16" ht="15" customHeight="1" x14ac:dyDescent="0.3">
      <c r="A18" s="17" t="s">
        <v>51</v>
      </c>
      <c r="B18" s="18">
        <f>INDEX(Table_Income!$L$4:$L$7,MATCH("Q1 2025",Table_Income!$A$4:$A$7,0))</f>
        <v>1640625</v>
      </c>
      <c r="C18" s="18">
        <f>INDEX(Table_Income!$L$4:$L$7,MATCH("Q2 2025",Table_Income!$A$4:$A$7,0))</f>
        <v>2193562</v>
      </c>
      <c r="D18" s="18">
        <f>INDEX(Table_Income!$L$4:$L$7,MATCH("Q3 2025",Table_Income!$A$4:$A$7,0))</f>
        <v>3037500</v>
      </c>
      <c r="E18" s="18">
        <f>INDEX(Table_Income!$L$4:$L$7,MATCH("Q4 2025",Table_Income!$A$4:$A$7,0))</f>
        <v>4080937</v>
      </c>
      <c r="H18" t="s">
        <v>42</v>
      </c>
      <c r="I18">
        <f>(INDEX(Table_Balance!$F$4:$F$7,MATCH("Q4 2025",Table_Balance!$A$4:$A$7,0))-INDEX(Table_Balance!$D$4:$D$7,MATCH("Q4 2025",Table_Balance!$A$4:$A$7,0)))/INDEX(Table_Balance!$N$4:$N$7,MATCH("Q4 2025",Table_Balance!$A$4:$A$7,0))</f>
        <v>2.7289719626168223</v>
      </c>
    </row>
    <row r="19" spans="1:16" ht="15" customHeight="1" x14ac:dyDescent="0.3">
      <c r="A19" s="17" t="s">
        <v>52</v>
      </c>
      <c r="B19" s="18">
        <f>INDEX(Table_Income!$E$4:$E$7,MATCH("Q1 2025",Table_Income!$A$4:$A$7,0))</f>
        <v>3125000</v>
      </c>
      <c r="C19" s="18">
        <f>INDEX(Table_Income!$E$4:$E$7,MATCH("Q2 2025",Table_Income!$A$4:$A$7,0))</f>
        <v>3594000</v>
      </c>
      <c r="D19" s="18">
        <f>INDEX(Table_Income!$E$4:$E$7,MATCH("Q3 2025",Table_Income!$A$4:$A$7,0))</f>
        <v>4187500</v>
      </c>
      <c r="E19" s="18">
        <f>INDEX(Table_Income!$E$4:$E$7,MATCH("Q4 2025",Table_Income!$A$4:$A$7,0))</f>
        <v>4875000</v>
      </c>
      <c r="H19" t="s">
        <v>53</v>
      </c>
      <c r="I19">
        <f>INDEX(Table_Income!$L$4:$L$7,MATCH("Q4 2025",Table_Income!$A$4:$A$7,0))/INDEX(Table_Balance!$U$4:$U$7,MATCH("Q4 2025",Table_Balance!$A$4:$A$7,0))*100</f>
        <v>13.58048918469218</v>
      </c>
    </row>
    <row r="20" spans="1:16" ht="15" customHeight="1" x14ac:dyDescent="0.3">
      <c r="H20" t="s">
        <v>54</v>
      </c>
      <c r="I20">
        <f>INDEX(Table_Income!$H$4:$H$7,MATCH("Q4 2025",Table_Income!$A$4:$A$7,0))/INDEX(Table_Income!$I$4:$I$7,MATCH("Q4 2025",Table_Income!$A$4:$A$7,0))</f>
        <v>21.728571428571428</v>
      </c>
    </row>
    <row r="21" spans="1:16" ht="15" customHeight="1" x14ac:dyDescent="0.3">
      <c r="A21" s="17" t="s">
        <v>55</v>
      </c>
      <c r="B21" s="19">
        <f>INDEX(Table_Balance!$J$4:$J$7,MATCH("Q1 2025",Table_Balance!$A$4:$A$7,0))</f>
        <v>40000000</v>
      </c>
      <c r="C21" s="19">
        <f>INDEX(Table_Balance!$J$4:$J$7,MATCH("Q2 2025",Table_Balance!$A$4:$A$7,0))</f>
        <v>42600000</v>
      </c>
      <c r="D21" s="19">
        <f>INDEX(Table_Balance!$J$4:$J$7,MATCH("Q3 2025",Table_Balance!$A$4:$A$7,0))</f>
        <v>45400000</v>
      </c>
      <c r="E21" s="19">
        <f>INDEX(Table_Balance!$J$4:$J$7,MATCH("Q4 2025",Table_Balance!$A$4:$A$7,0))</f>
        <v>48650000</v>
      </c>
      <c r="H21" t="s">
        <v>56</v>
      </c>
      <c r="I21">
        <f>(INDEX(Table_Balance!$J$4:$J$7,MATCH("Q4 2025",Table_Balance!$A$4:$A$7,0))/INDEX(Table_Balance!$J$4:$J$7,MATCH("Q3 2025",Table_Balance!$A$4:$A$7,0))-1)*100</f>
        <v>7.1585903083700497</v>
      </c>
    </row>
    <row r="22" spans="1:16" ht="15" customHeight="1" x14ac:dyDescent="0.3">
      <c r="A22" s="17" t="s">
        <v>57</v>
      </c>
      <c r="B22" s="19">
        <f>INDEX(Table_Balance!$R$4:$R$7,MATCH("Q1 2025",Table_Balance!$A$4:$A$7,0))</f>
        <v>21000000</v>
      </c>
      <c r="C22" s="19">
        <f>INDEX(Table_Balance!$R$4:$R$7,MATCH("Q2 2025",Table_Balance!$A$4:$A$7,0))</f>
        <v>20200000</v>
      </c>
      <c r="D22" s="19">
        <f>INDEX(Table_Balance!$R$4:$R$7,MATCH("Q3 2025",Table_Balance!$A$4:$A$7,0))</f>
        <v>19400000</v>
      </c>
      <c r="E22" s="19">
        <f>INDEX(Table_Balance!$R$4:$R$7,MATCH("Q4 2025",Table_Balance!$A$4:$A$7,0))</f>
        <v>18600000</v>
      </c>
    </row>
    <row r="25" spans="1:16" ht="15" customHeight="1" x14ac:dyDescent="0.3">
      <c r="B25" s="15" t="s">
        <v>58</v>
      </c>
    </row>
    <row r="26" spans="1:16" ht="15" customHeight="1" x14ac:dyDescent="0.3">
      <c r="B26" s="1" t="str">
        <f>IF(Z1="","Select a quarter to view insights","For " &amp; $C$4 &amp; ": Revenue reached " &amp; TEXT(Z1,"$#,##0") &amp; " with a " &amp; TEXT(Z3/Z1,"0.0%") &amp; " net margin. Balance sheet strength improved with Debt-to-Equity at " &amp; TEXT(Z8/Z9,"0.00") &amp; " and Current Ratio of " &amp; TEXT(Z4/Z5,"0.00") &amp; ". Interest coverage stands at " &amp; TEXT(Z10/Z11,"0.0") &amp; "x, indicating " &amp; IF(Z10/Z11&gt;5,"strong","adequate") &amp; " debt servicing capacity.")</f>
        <v>For Q4 2025: Revenue reached $19,500,000 with a 20.9% net margin. Balance sheet strength improved with Debt-to-Equity at 0.62 and Current Ratio of 3.34. Interest coverage stands at 21.7x, indicating strong debt servicing capacity.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ht="15" customHeight="1" x14ac:dyDescent="0.3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ht="15" customHeight="1" x14ac:dyDescent="0.3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</sheetData>
  <mergeCells count="19">
    <mergeCell ref="B26:P28"/>
    <mergeCell ref="BN10:BP10"/>
    <mergeCell ref="BR10:BT10"/>
    <mergeCell ref="BV10:BX10"/>
    <mergeCell ref="BZ10:CB10"/>
    <mergeCell ref="BN11:BP12"/>
    <mergeCell ref="BR11:BT12"/>
    <mergeCell ref="BV11:BX12"/>
    <mergeCell ref="BZ11:CB12"/>
    <mergeCell ref="BZ6:CB6"/>
    <mergeCell ref="BN7:BP8"/>
    <mergeCell ref="BR7:BT8"/>
    <mergeCell ref="BV7:BX8"/>
    <mergeCell ref="BZ7:CB8"/>
    <mergeCell ref="A1:P1"/>
    <mergeCell ref="A2:P2"/>
    <mergeCell ref="BN6:BP6"/>
    <mergeCell ref="BR6:BT6"/>
    <mergeCell ref="BV6:BX6"/>
  </mergeCells>
  <dataValidations count="1">
    <dataValidation type="list" sqref="C4" xr:uid="{00000000-0002-0000-0200-000000000000}">
      <formula1>"Q1 2025,Q2 2025,Q3 2025,Q4 2025"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Table_Income</vt:lpstr>
      <vt:lpstr>Table_Balance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Anurag Chakrabarti</cp:lastModifiedBy>
  <cp:revision>2</cp:revision>
  <dcterms:created xsi:type="dcterms:W3CDTF">2026-02-14T15:27:55Z</dcterms:created>
  <dcterms:modified xsi:type="dcterms:W3CDTF">2026-02-14T15:42:27Z</dcterms:modified>
  <dc:language>en-US</dc:language>
</cp:coreProperties>
</file>